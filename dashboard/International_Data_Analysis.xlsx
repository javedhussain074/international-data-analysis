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 defaultThemeVersion="166925"/>
  <xr:revisionPtr revIDLastSave="0" documentId="8_{C3B8AA71-BF45-44DE-AEB9-C08E577F4048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KPI_Data" sheetId="5" r:id="rId1"/>
    <sheet name="MoU_Data" sheetId="6" r:id="rId2"/>
    <sheet name="Visit_Trend" sheetId="7" r:id="rId3"/>
    <sheet name="Budget_Data" sheetId="4" r:id="rId4"/>
    <sheet name="Top_Countries" sheetId="3" r:id="rId5"/>
    <sheet name="Overview Dashboard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8" l="1"/>
  <c r="I4" i="8"/>
  <c r="E4" i="8"/>
  <c r="A4" i="8"/>
</calcChain>
</file>

<file path=xl/sharedStrings.xml><?xml version="1.0" encoding="utf-8"?>
<sst xmlns="http://schemas.openxmlformats.org/spreadsheetml/2006/main" count="60" uniqueCount="46">
  <si>
    <t>total_visitors</t>
  </si>
  <si>
    <t>total_mous</t>
  </si>
  <si>
    <t>total_projects</t>
  </si>
  <si>
    <t>total_budget</t>
  </si>
  <si>
    <t>country</t>
  </si>
  <si>
    <t>UAE</t>
  </si>
  <si>
    <t>UK</t>
  </si>
  <si>
    <t>Malaysia</t>
  </si>
  <si>
    <t>South Africa</t>
  </si>
  <si>
    <t>Thailand</t>
  </si>
  <si>
    <t>Spain</t>
  </si>
  <si>
    <t>Netherlands</t>
  </si>
  <si>
    <t>France</t>
  </si>
  <si>
    <t>Singapore</t>
  </si>
  <si>
    <t>Russia</t>
  </si>
  <si>
    <t>Canada</t>
  </si>
  <si>
    <t>South Korea</t>
  </si>
  <si>
    <t>India</t>
  </si>
  <si>
    <t>Japan</t>
  </si>
  <si>
    <t>Germany</t>
  </si>
  <si>
    <t>Italy</t>
  </si>
  <si>
    <t>Australia</t>
  </si>
  <si>
    <t>Brazil</t>
  </si>
  <si>
    <t>USA</t>
  </si>
  <si>
    <t>China</t>
  </si>
  <si>
    <t>year</t>
  </si>
  <si>
    <t>total</t>
  </si>
  <si>
    <t>sector</t>
  </si>
  <si>
    <t>Technology</t>
  </si>
  <si>
    <t>Agriculture</t>
  </si>
  <si>
    <t>Cybersecurity</t>
  </si>
  <si>
    <t>Education</t>
  </si>
  <si>
    <t>Healthcare</t>
  </si>
  <si>
    <t>Biotechnology</t>
  </si>
  <si>
    <t>Infrastructure</t>
  </si>
  <si>
    <t>AI &amp; ML</t>
  </si>
  <si>
    <t>Space Research</t>
  </si>
  <si>
    <t>Environment</t>
  </si>
  <si>
    <t>Energy</t>
  </si>
  <si>
    <t>Transport</t>
  </si>
  <si>
    <t>International Data Analysis Dashboard</t>
  </si>
  <si>
    <t>🌍 Total Visitors</t>
  </si>
  <si>
    <t>🤝 Total MoUs</t>
  </si>
  <si>
    <t>📁 Total Projects</t>
  </si>
  <si>
    <t>💰 Total Budget</t>
  </si>
  <si>
    <t>Data Source: Visits, MoUs &amp; Projects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</si>
</sst>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₹-4009]\ #,##0"/>
    <numFmt numFmtId="166" formatCode="0.00,,&quot;M&quot;"/>
  </numFmts>
  <fonts count="7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26"/>
      <color theme="0"/>
      <name val="Times New Roman"/>
    </font>
    <font>
      <b/>
      <sz val="16"/>
      <color theme="0"/>
      <name val="Times New Roman"/>
    </font>
    <font>
      <b/>
      <sz val="18"/>
      <color rgb="FF000000"/>
      <name val="Times New Roman"/>
    </font>
    <font>
      <b/>
      <sz val="14"/>
      <color theme="0"/>
      <name val="Times New Roman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2" xfId="0" applyBorder="1"/>
    <xf numFmtId="0" fontId="0" fillId="0" borderId="0" xfId="0" applyAlignment="1"/>
    <xf numFmtId="3" fontId="4" fillId="3" borderId="3" xfId="0" applyNumberFormat="1" applyFont="1" applyFill="1" applyBorder="1" applyAlignment="1">
      <alignment horizontal="center" vertical="center"/>
    </xf>
    <xf numFmtId="3" fontId="4" fillId="3" borderId="0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5" fontId="4" fillId="3" borderId="0" xfId="0" applyNumberFormat="1" applyFont="1" applyFill="1" applyBorder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166" fontId="1" fillId="0" borderId="0" xfId="0" applyNumberFormat="1" applyFont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E76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MoUs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MoU_Data!$B$1</c:f>
              <c:strCache>
                <c:ptCount val="1"/>
                <c:pt idx="0">
                  <c:v>total_mous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MoU_Data!$A$2:$A$21</c:f>
              <c:strCache>
                <c:ptCount val="20"/>
                <c:pt idx="0">
                  <c:v>UAE</c:v>
                </c:pt>
                <c:pt idx="1">
                  <c:v>UK</c:v>
                </c:pt>
                <c:pt idx="2">
                  <c:v>Malaysia</c:v>
                </c:pt>
                <c:pt idx="3">
                  <c:v>South Africa</c:v>
                </c:pt>
                <c:pt idx="4">
                  <c:v>Thailand</c:v>
                </c:pt>
                <c:pt idx="5">
                  <c:v>Spain</c:v>
                </c:pt>
                <c:pt idx="6">
                  <c:v>Netherlands</c:v>
                </c:pt>
                <c:pt idx="7">
                  <c:v>France</c:v>
                </c:pt>
                <c:pt idx="8">
                  <c:v>Singapore</c:v>
                </c:pt>
                <c:pt idx="9">
                  <c:v>Russia</c:v>
                </c:pt>
                <c:pt idx="10">
                  <c:v>Canada</c:v>
                </c:pt>
                <c:pt idx="11">
                  <c:v>South Korea</c:v>
                </c:pt>
                <c:pt idx="12">
                  <c:v>India</c:v>
                </c:pt>
                <c:pt idx="13">
                  <c:v>Japan</c:v>
                </c:pt>
                <c:pt idx="14">
                  <c:v>Germany</c:v>
                </c:pt>
                <c:pt idx="15">
                  <c:v>Italy</c:v>
                </c:pt>
                <c:pt idx="16">
                  <c:v>Australia</c:v>
                </c:pt>
                <c:pt idx="17">
                  <c:v>Brazil</c:v>
                </c:pt>
                <c:pt idx="18">
                  <c:v>USA</c:v>
                </c:pt>
                <c:pt idx="19">
                  <c:v>China</c:v>
                </c:pt>
              </c:strCache>
            </c:strRef>
          </c:cat>
          <c:val>
            <c:numRef>
              <c:f>MoU_Data!$B$2:$B$21</c:f>
              <c:numCache>
                <c:formatCode>0</c:formatCode>
                <c:ptCount val="20"/>
                <c:pt idx="0">
                  <c:v>65</c:v>
                </c:pt>
                <c:pt idx="1">
                  <c:v>57</c:v>
                </c:pt>
                <c:pt idx="2">
                  <c:v>56</c:v>
                </c:pt>
                <c:pt idx="3">
                  <c:v>56</c:v>
                </c:pt>
                <c:pt idx="4">
                  <c:v>55</c:v>
                </c:pt>
                <c:pt idx="5">
                  <c:v>53</c:v>
                </c:pt>
                <c:pt idx="6">
                  <c:v>52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49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47</c:v>
                </c:pt>
                <c:pt idx="15">
                  <c:v>47</c:v>
                </c:pt>
                <c:pt idx="16">
                  <c:v>46</c:v>
                </c:pt>
                <c:pt idx="17">
                  <c:v>41</c:v>
                </c:pt>
                <c:pt idx="18">
                  <c:v>40</c:v>
                </c:pt>
                <c:pt idx="1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8-49AF-9431-B43B3EEA6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axId val="1924888584"/>
        <c:axId val="578903559"/>
      </c:barChart>
      <c:catAx>
        <c:axId val="192488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8903559"/>
        <c:crosses val="autoZero"/>
        <c:auto val="1"/>
        <c:lblAlgn val="ctr"/>
        <c:lblOffset val="100"/>
        <c:noMultiLvlLbl val="0"/>
      </c:catAx>
      <c:valAx>
        <c:axId val="57890355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4888584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Yearly Visit Trend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Visit_Trend!$B$1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0549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Visit_Trend!$A$2:$A$12</c:f>
              <c:numCache>
                <c:formatCode>0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Visit_Trend!$B$2:$B$12</c:f>
              <c:numCache>
                <c:formatCode>0</c:formatCode>
                <c:ptCount val="11"/>
                <c:pt idx="0">
                  <c:v>2146225</c:v>
                </c:pt>
                <c:pt idx="1">
                  <c:v>2629937</c:v>
                </c:pt>
                <c:pt idx="2">
                  <c:v>2740952</c:v>
                </c:pt>
                <c:pt idx="3">
                  <c:v>1857811</c:v>
                </c:pt>
                <c:pt idx="4">
                  <c:v>1697694</c:v>
                </c:pt>
                <c:pt idx="5">
                  <c:v>1974696</c:v>
                </c:pt>
                <c:pt idx="6">
                  <c:v>2308611</c:v>
                </c:pt>
                <c:pt idx="7">
                  <c:v>2300090</c:v>
                </c:pt>
                <c:pt idx="8">
                  <c:v>2313260</c:v>
                </c:pt>
                <c:pt idx="9">
                  <c:v>2476246</c:v>
                </c:pt>
                <c:pt idx="10">
                  <c:v>2849891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86-42DA-B6A8-17776A218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321160"/>
        <c:axId val="1678324232"/>
      </c:lineChart>
      <c:catAx>
        <c:axId val="1678321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78324232"/>
        <c:crosses val="autoZero"/>
        <c:auto val="1"/>
        <c:lblAlgn val="ctr"/>
        <c:lblOffset val="100"/>
        <c:noMultiLvlLbl val="0"/>
      </c:catAx>
      <c:valAx>
        <c:axId val="1678324232"/>
        <c:scaling>
          <c:orientation val="minMax"/>
          <c:min val="15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Visitors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78321160"/>
        <c:crosses val="autoZero"/>
        <c:crossBetween val="between"/>
        <c:majorUnit val="25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Budget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Budget_Data!$B$1</c:f>
              <c:strCache>
                <c:ptCount val="1"/>
                <c:pt idx="0">
                  <c:v>total_budget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59-41DE-BCCB-108733FE85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59-41DE-BCCB-108733FE85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59-41DE-BCCB-108733FE85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59-41DE-BCCB-108733FE85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59-41DE-BCCB-108733FE85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59-41DE-BCCB-108733FE85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59-41DE-BCCB-108733FE85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E59-41DE-BCCB-108733FE85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E59-41DE-BCCB-108733FE85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E59-41DE-BCCB-108733FE85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E59-41DE-BCCB-108733FE85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E59-41DE-BCCB-108733FE85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Budget_Data!$A$2:$A$13</c:f>
              <c:strCache>
                <c:ptCount val="12"/>
                <c:pt idx="0">
                  <c:v>Technology</c:v>
                </c:pt>
                <c:pt idx="1">
                  <c:v>Agriculture</c:v>
                </c:pt>
                <c:pt idx="2">
                  <c:v>Cybersecurity</c:v>
                </c:pt>
                <c:pt idx="3">
                  <c:v>Education</c:v>
                </c:pt>
                <c:pt idx="4">
                  <c:v>Healthcare</c:v>
                </c:pt>
                <c:pt idx="5">
                  <c:v>Biotechnology</c:v>
                </c:pt>
                <c:pt idx="6">
                  <c:v>Infrastructure</c:v>
                </c:pt>
                <c:pt idx="7">
                  <c:v>AI &amp; ML</c:v>
                </c:pt>
                <c:pt idx="8">
                  <c:v>Space Research</c:v>
                </c:pt>
                <c:pt idx="9">
                  <c:v>Environment</c:v>
                </c:pt>
                <c:pt idx="10">
                  <c:v>Energy</c:v>
                </c:pt>
                <c:pt idx="11">
                  <c:v>Transport</c:v>
                </c:pt>
              </c:strCache>
            </c:strRef>
          </c:cat>
          <c:val>
            <c:numRef>
              <c:f>Budget_Data!$B$2:$B$13</c:f>
              <c:numCache>
                <c:formatCode>0</c:formatCode>
                <c:ptCount val="12"/>
                <c:pt idx="0">
                  <c:v>227344830</c:v>
                </c:pt>
                <c:pt idx="1">
                  <c:v>223823780</c:v>
                </c:pt>
                <c:pt idx="2">
                  <c:v>221279589</c:v>
                </c:pt>
                <c:pt idx="3">
                  <c:v>218762996</c:v>
                </c:pt>
                <c:pt idx="4">
                  <c:v>213412788</c:v>
                </c:pt>
                <c:pt idx="5">
                  <c:v>212294290</c:v>
                </c:pt>
                <c:pt idx="6">
                  <c:v>209992570</c:v>
                </c:pt>
                <c:pt idx="7">
                  <c:v>204579464</c:v>
                </c:pt>
                <c:pt idx="8">
                  <c:v>202338248</c:v>
                </c:pt>
                <c:pt idx="9">
                  <c:v>195466430</c:v>
                </c:pt>
                <c:pt idx="10">
                  <c:v>193964867</c:v>
                </c:pt>
                <c:pt idx="11">
                  <c:v>161271499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B-4801-BF15-343E7B825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Top Countries by Visitors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Top_Countries!$B$1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Top_Countries!$A$2:$A$11</c:f>
              <c:strCache>
                <c:ptCount val="10"/>
                <c:pt idx="0">
                  <c:v>Germany</c:v>
                </c:pt>
                <c:pt idx="1">
                  <c:v>India</c:v>
                </c:pt>
                <c:pt idx="2">
                  <c:v>Thailand</c:v>
                </c:pt>
                <c:pt idx="3">
                  <c:v>Japan</c:v>
                </c:pt>
                <c:pt idx="4">
                  <c:v>China</c:v>
                </c:pt>
                <c:pt idx="5">
                  <c:v>UAE</c:v>
                </c:pt>
                <c:pt idx="6">
                  <c:v>Australia</c:v>
                </c:pt>
                <c:pt idx="7">
                  <c:v>Brazil</c:v>
                </c:pt>
                <c:pt idx="8">
                  <c:v>Spain</c:v>
                </c:pt>
                <c:pt idx="9">
                  <c:v>South Africa</c:v>
                </c:pt>
              </c:strCache>
            </c:strRef>
          </c:cat>
          <c:val>
            <c:numRef>
              <c:f>Top_Countries!$B$2:$B$11</c:f>
              <c:numCache>
                <c:formatCode>0.00,,"M"</c:formatCode>
                <c:ptCount val="10"/>
                <c:pt idx="0">
                  <c:v>1856954</c:v>
                </c:pt>
                <c:pt idx="1">
                  <c:v>1576205</c:v>
                </c:pt>
                <c:pt idx="2">
                  <c:v>1491901</c:v>
                </c:pt>
                <c:pt idx="3">
                  <c:v>1425850</c:v>
                </c:pt>
                <c:pt idx="4">
                  <c:v>1366946</c:v>
                </c:pt>
                <c:pt idx="5">
                  <c:v>1359111</c:v>
                </c:pt>
                <c:pt idx="6">
                  <c:v>1354471</c:v>
                </c:pt>
                <c:pt idx="7">
                  <c:v>1348026</c:v>
                </c:pt>
                <c:pt idx="8">
                  <c:v>1287232</c:v>
                </c:pt>
                <c:pt idx="9">
                  <c:v>1273177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B-4A67-9D51-0B62B7BF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axId val="1841233416"/>
        <c:axId val="1924895752"/>
      </c:barChart>
      <c:catAx>
        <c:axId val="184123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4895752"/>
        <c:crosses val="autoZero"/>
        <c:auto val="1"/>
        <c:lblAlgn val="ctr"/>
        <c:lblOffset val="100"/>
        <c:noMultiLvlLbl val="0"/>
      </c:catAx>
      <c:valAx>
        <c:axId val="1924895752"/>
        <c:scaling>
          <c:orientation val="minMax"/>
        </c:scaling>
        <c:delete val="0"/>
        <c:axPos val="l"/>
        <c:numFmt formatCode="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41233416"/>
        <c:crosses val="autoZero"/>
        <c:crossBetween val="between"/>
        <c:majorUnit val="400000"/>
        <c:minorUnit val="4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MoUs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MoU_Data!$B$1</c:f>
              <c:strCache>
                <c:ptCount val="1"/>
                <c:pt idx="0">
                  <c:v>total_mous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MoU_Data!$A$2:$A$21</c:f>
              <c:strCache>
                <c:ptCount val="20"/>
                <c:pt idx="0">
                  <c:v>UAE</c:v>
                </c:pt>
                <c:pt idx="1">
                  <c:v>UK</c:v>
                </c:pt>
                <c:pt idx="2">
                  <c:v>Malaysia</c:v>
                </c:pt>
                <c:pt idx="3">
                  <c:v>South Africa</c:v>
                </c:pt>
                <c:pt idx="4">
                  <c:v>Thailand</c:v>
                </c:pt>
                <c:pt idx="5">
                  <c:v>Spain</c:v>
                </c:pt>
                <c:pt idx="6">
                  <c:v>Netherlands</c:v>
                </c:pt>
                <c:pt idx="7">
                  <c:v>France</c:v>
                </c:pt>
                <c:pt idx="8">
                  <c:v>Singapore</c:v>
                </c:pt>
                <c:pt idx="9">
                  <c:v>Russia</c:v>
                </c:pt>
                <c:pt idx="10">
                  <c:v>Canada</c:v>
                </c:pt>
                <c:pt idx="11">
                  <c:v>South Korea</c:v>
                </c:pt>
                <c:pt idx="12">
                  <c:v>India</c:v>
                </c:pt>
                <c:pt idx="13">
                  <c:v>Japan</c:v>
                </c:pt>
                <c:pt idx="14">
                  <c:v>Germany</c:v>
                </c:pt>
                <c:pt idx="15">
                  <c:v>Italy</c:v>
                </c:pt>
                <c:pt idx="16">
                  <c:v>Australia</c:v>
                </c:pt>
                <c:pt idx="17">
                  <c:v>Brazil</c:v>
                </c:pt>
                <c:pt idx="18">
                  <c:v>USA</c:v>
                </c:pt>
                <c:pt idx="19">
                  <c:v>China</c:v>
                </c:pt>
              </c:strCache>
            </c:strRef>
          </c:cat>
          <c:val>
            <c:numRef>
              <c:f>MoU_Data!$B$2:$B$21</c:f>
              <c:numCache>
                <c:formatCode>0</c:formatCode>
                <c:ptCount val="20"/>
                <c:pt idx="0">
                  <c:v>65</c:v>
                </c:pt>
                <c:pt idx="1">
                  <c:v>57</c:v>
                </c:pt>
                <c:pt idx="2">
                  <c:v>56</c:v>
                </c:pt>
                <c:pt idx="3">
                  <c:v>56</c:v>
                </c:pt>
                <c:pt idx="4">
                  <c:v>55</c:v>
                </c:pt>
                <c:pt idx="5">
                  <c:v>53</c:v>
                </c:pt>
                <c:pt idx="6">
                  <c:v>52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49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47</c:v>
                </c:pt>
                <c:pt idx="15">
                  <c:v>47</c:v>
                </c:pt>
                <c:pt idx="16">
                  <c:v>46</c:v>
                </c:pt>
                <c:pt idx="17">
                  <c:v>41</c:v>
                </c:pt>
                <c:pt idx="18">
                  <c:v>40</c:v>
                </c:pt>
                <c:pt idx="1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E-4C27-817D-C6A9C826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axId val="1924888584"/>
        <c:axId val="578903559"/>
      </c:barChart>
      <c:catAx>
        <c:axId val="192488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8903559"/>
        <c:crosses val="autoZero"/>
        <c:auto val="1"/>
        <c:lblAlgn val="ctr"/>
        <c:lblOffset val="100"/>
        <c:noMultiLvlLbl val="0"/>
      </c:catAx>
      <c:valAx>
        <c:axId val="57890355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4888584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Budget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Budget_Data!$B$1</c:f>
              <c:strCache>
                <c:ptCount val="1"/>
                <c:pt idx="0">
                  <c:v>total_budget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59-43C4-9513-AB85315CD5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59-43C4-9513-AB85315CD5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59-43C4-9513-AB85315CD5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59-43C4-9513-AB85315CD5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59-43C4-9513-AB85315CD5E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59-43C4-9513-AB85315CD5E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659-43C4-9513-AB85315CD5E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659-43C4-9513-AB85315CD5E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659-43C4-9513-AB85315CD5E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659-43C4-9513-AB85315CD5E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659-43C4-9513-AB85315CD5E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659-43C4-9513-AB85315CD5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Budget_Data!$A$2:$A$13</c:f>
              <c:strCache>
                <c:ptCount val="12"/>
                <c:pt idx="0">
                  <c:v>Technology</c:v>
                </c:pt>
                <c:pt idx="1">
                  <c:v>Agriculture</c:v>
                </c:pt>
                <c:pt idx="2">
                  <c:v>Cybersecurity</c:v>
                </c:pt>
                <c:pt idx="3">
                  <c:v>Education</c:v>
                </c:pt>
                <c:pt idx="4">
                  <c:v>Healthcare</c:v>
                </c:pt>
                <c:pt idx="5">
                  <c:v>Biotechnology</c:v>
                </c:pt>
                <c:pt idx="6">
                  <c:v>Infrastructure</c:v>
                </c:pt>
                <c:pt idx="7">
                  <c:v>AI &amp; ML</c:v>
                </c:pt>
                <c:pt idx="8">
                  <c:v>Space Research</c:v>
                </c:pt>
                <c:pt idx="9">
                  <c:v>Environment</c:v>
                </c:pt>
                <c:pt idx="10">
                  <c:v>Energy</c:v>
                </c:pt>
                <c:pt idx="11">
                  <c:v>Transport</c:v>
                </c:pt>
              </c:strCache>
            </c:strRef>
          </c:cat>
          <c:val>
            <c:numRef>
              <c:f>Budget_Data!$B$2:$B$13</c:f>
              <c:numCache>
                <c:formatCode>0</c:formatCode>
                <c:ptCount val="12"/>
                <c:pt idx="0">
                  <c:v>227344830</c:v>
                </c:pt>
                <c:pt idx="1">
                  <c:v>223823780</c:v>
                </c:pt>
                <c:pt idx="2">
                  <c:v>221279589</c:v>
                </c:pt>
                <c:pt idx="3">
                  <c:v>218762996</c:v>
                </c:pt>
                <c:pt idx="4">
                  <c:v>213412788</c:v>
                </c:pt>
                <c:pt idx="5">
                  <c:v>212294290</c:v>
                </c:pt>
                <c:pt idx="6">
                  <c:v>209992570</c:v>
                </c:pt>
                <c:pt idx="7">
                  <c:v>204579464</c:v>
                </c:pt>
                <c:pt idx="8">
                  <c:v>202338248</c:v>
                </c:pt>
                <c:pt idx="9">
                  <c:v>195466430</c:v>
                </c:pt>
                <c:pt idx="10">
                  <c:v>193964867</c:v>
                </c:pt>
                <c:pt idx="11">
                  <c:v>161271499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659-43C4-9513-AB85315CD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Top Countries by Visitors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Top_Countries!$B$1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Top_Countries!$A$2:$A$11</c:f>
              <c:strCache>
                <c:ptCount val="10"/>
                <c:pt idx="0">
                  <c:v>Germany</c:v>
                </c:pt>
                <c:pt idx="1">
                  <c:v>India</c:v>
                </c:pt>
                <c:pt idx="2">
                  <c:v>Thailand</c:v>
                </c:pt>
                <c:pt idx="3">
                  <c:v>Japan</c:v>
                </c:pt>
                <c:pt idx="4">
                  <c:v>China</c:v>
                </c:pt>
                <c:pt idx="5">
                  <c:v>UAE</c:v>
                </c:pt>
                <c:pt idx="6">
                  <c:v>Australia</c:v>
                </c:pt>
                <c:pt idx="7">
                  <c:v>Brazil</c:v>
                </c:pt>
                <c:pt idx="8">
                  <c:v>Spain</c:v>
                </c:pt>
                <c:pt idx="9">
                  <c:v>South Africa</c:v>
                </c:pt>
              </c:strCache>
            </c:strRef>
          </c:cat>
          <c:val>
            <c:numRef>
              <c:f>Top_Countries!$B$2:$B$11</c:f>
              <c:numCache>
                <c:formatCode>0.00,,"M"</c:formatCode>
                <c:ptCount val="10"/>
                <c:pt idx="0">
                  <c:v>1856954</c:v>
                </c:pt>
                <c:pt idx="1">
                  <c:v>1576205</c:v>
                </c:pt>
                <c:pt idx="2">
                  <c:v>1491901</c:v>
                </c:pt>
                <c:pt idx="3">
                  <c:v>1425850</c:v>
                </c:pt>
                <c:pt idx="4">
                  <c:v>1366946</c:v>
                </c:pt>
                <c:pt idx="5">
                  <c:v>1359111</c:v>
                </c:pt>
                <c:pt idx="6">
                  <c:v>1354471</c:v>
                </c:pt>
                <c:pt idx="7">
                  <c:v>1348026</c:v>
                </c:pt>
                <c:pt idx="8">
                  <c:v>1287232</c:v>
                </c:pt>
                <c:pt idx="9">
                  <c:v>1273177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B-4FFE-A737-47F2556B9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axId val="1841233416"/>
        <c:axId val="1924895752"/>
      </c:barChart>
      <c:catAx>
        <c:axId val="184123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4895752"/>
        <c:crosses val="autoZero"/>
        <c:auto val="1"/>
        <c:lblAlgn val="ctr"/>
        <c:lblOffset val="100"/>
        <c:noMultiLvlLbl val="0"/>
      </c:catAx>
      <c:valAx>
        <c:axId val="1924895752"/>
        <c:scaling>
          <c:orientation val="minMax"/>
        </c:scaling>
        <c:delete val="0"/>
        <c:axPos val="l"/>
        <c:numFmt formatCode="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41233416"/>
        <c:crosses val="autoZero"/>
        <c:crossBetween val="between"/>
        <c:majorUnit val="400000"/>
        <c:minorUnit val="4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Yearly Visit Trend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Visit_Trend!$B$1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0549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Visit_Trend!$A$2:$A$12</c:f>
              <c:numCache>
                <c:formatCode>0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Visit_Trend!$B$2:$B$12</c:f>
              <c:numCache>
                <c:formatCode>0</c:formatCode>
                <c:ptCount val="11"/>
                <c:pt idx="0">
                  <c:v>2146225</c:v>
                </c:pt>
                <c:pt idx="1">
                  <c:v>2629937</c:v>
                </c:pt>
                <c:pt idx="2">
                  <c:v>2740952</c:v>
                </c:pt>
                <c:pt idx="3">
                  <c:v>1857811</c:v>
                </c:pt>
                <c:pt idx="4">
                  <c:v>1697694</c:v>
                </c:pt>
                <c:pt idx="5">
                  <c:v>1974696</c:v>
                </c:pt>
                <c:pt idx="6">
                  <c:v>2308611</c:v>
                </c:pt>
                <c:pt idx="7">
                  <c:v>2300090</c:v>
                </c:pt>
                <c:pt idx="8">
                  <c:v>2313260</c:v>
                </c:pt>
                <c:pt idx="9">
                  <c:v>2476246</c:v>
                </c:pt>
                <c:pt idx="10">
                  <c:v>2849891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2-4CBD-83FB-9325EAF52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321160"/>
        <c:axId val="1678324232"/>
      </c:lineChart>
      <c:catAx>
        <c:axId val="1678321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78324232"/>
        <c:crosses val="autoZero"/>
        <c:auto val="1"/>
        <c:lblAlgn val="ctr"/>
        <c:lblOffset val="100"/>
        <c:noMultiLvlLbl val="0"/>
      </c:catAx>
      <c:valAx>
        <c:axId val="1678324232"/>
        <c:scaling>
          <c:orientation val="minMax"/>
          <c:min val="15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Visitors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78321160"/>
        <c:crosses val="autoZero"/>
        <c:crossBetween val="between"/>
        <c:majorUnit val="25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0</xdr:rowOff>
    </xdr:from>
    <xdr:to>
      <xdr:col>15</xdr:col>
      <xdr:colOff>600075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80FC4-A88E-F0C2-B718-9974638EF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</xdr:row>
      <xdr:rowOff>76200</xdr:rowOff>
    </xdr:from>
    <xdr:to>
      <xdr:col>12</xdr:col>
      <xdr:colOff>152400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23551-CA36-9DD9-C698-457C0BC45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0</xdr:rowOff>
    </xdr:from>
    <xdr:to>
      <xdr:col>12</xdr:col>
      <xdr:colOff>600075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41AC14-58B5-98C7-F220-76CDCA420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47625</xdr:rowOff>
    </xdr:from>
    <xdr:to>
      <xdr:col>12</xdr:col>
      <xdr:colOff>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2A927-6A2A-BBF0-DB4F-A09D6AE04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6</xdr:row>
      <xdr:rowOff>9525</xdr:rowOff>
    </xdr:from>
    <xdr:to>
      <xdr:col>15</xdr:col>
      <xdr:colOff>600075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B9E5DD-370C-474F-BA74-EA274C824B1F}"/>
            </a:ext>
            <a:ext uri="{147F2762-F138-4A5C-976F-8EAC2B608ADB}">
              <a16:predDERef xmlns:a16="http://schemas.microsoft.com/office/drawing/2014/main" pred="{838C292A-5B15-4B0F-8A6C-03B245AC0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37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060E7B-8D94-4A69-B13B-F2D105CD8046}"/>
            </a:ext>
            <a:ext uri="{147F2762-F138-4A5C-976F-8EAC2B608ADB}">
              <a16:predDERef xmlns:a16="http://schemas.microsoft.com/office/drawing/2014/main" pred="{E9B9E5DD-370C-474F-BA74-EA274C824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22</xdr:row>
      <xdr:rowOff>0</xdr:rowOff>
    </xdr:from>
    <xdr:to>
      <xdr:col>15</xdr:col>
      <xdr:colOff>600075</xdr:colOff>
      <xdr:row>37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88A0E1-2411-4B48-AF8E-8D5772B09B99}"/>
            </a:ext>
            <a:ext uri="{147F2762-F138-4A5C-976F-8EAC2B608ADB}">
              <a16:predDERef xmlns:a16="http://schemas.microsoft.com/office/drawing/2014/main" pred="{B5060E7B-8D94-4A69-B13B-F2D105CD8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</xdr:row>
      <xdr:rowOff>9525</xdr:rowOff>
    </xdr:from>
    <xdr:to>
      <xdr:col>7</xdr:col>
      <xdr:colOff>685800</xdr:colOff>
      <xdr:row>21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C4EB16-A98B-42F8-AD84-645E17EE0BD5}"/>
            </a:ext>
            <a:ext uri="{147F2762-F138-4A5C-976F-8EAC2B608ADB}">
              <a16:predDERef xmlns:a16="http://schemas.microsoft.com/office/drawing/2014/main" pred="{8788A0E1-2411-4B48-AF8E-8D5772B09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7D4C-DB73-447C-8AAD-1E1D52B540A4}">
  <dimension ref="A1:D2"/>
  <sheetViews>
    <sheetView workbookViewId="0">
      <selection activeCell="I10" sqref="I10"/>
    </sheetView>
  </sheetViews>
  <sheetFormatPr defaultRowHeight="15"/>
  <cols>
    <col min="1" max="1" width="15.28515625" bestFit="1" customWidth="1"/>
    <col min="2" max="2" width="13.140625" bestFit="1" customWidth="1"/>
    <col min="3" max="3" width="15.85546875" bestFit="1" customWidth="1"/>
    <col min="4" max="4" width="15.140625" bestFit="1" customWidth="1"/>
  </cols>
  <sheetData>
    <row r="1" spans="1:4" s="12" customFormat="1" ht="18.75">
      <c r="A1" s="11" t="s">
        <v>0</v>
      </c>
      <c r="B1" s="11" t="s">
        <v>1</v>
      </c>
      <c r="C1" s="11" t="s">
        <v>2</v>
      </c>
      <c r="D1" s="11" t="s">
        <v>3</v>
      </c>
    </row>
    <row r="2" spans="1:4" ht="15.75">
      <c r="A2" s="20">
        <v>25295413</v>
      </c>
      <c r="B2" s="20">
        <v>1000</v>
      </c>
      <c r="C2" s="20">
        <v>1000</v>
      </c>
      <c r="D2" s="20">
        <v>2484531351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1170-9A3A-4765-A747-EF555195E9C7}">
  <dimension ref="A1:B21"/>
  <sheetViews>
    <sheetView workbookViewId="0">
      <selection activeCell="N26" sqref="N26"/>
    </sheetView>
  </sheetViews>
  <sheetFormatPr defaultRowHeight="15"/>
  <cols>
    <col min="1" max="1" width="11.5703125" bestFit="1" customWidth="1"/>
    <col min="2" max="2" width="14" bestFit="1" customWidth="1"/>
  </cols>
  <sheetData>
    <row r="1" spans="1:2" ht="18.75">
      <c r="A1" s="11" t="s">
        <v>4</v>
      </c>
      <c r="B1" s="11" t="s">
        <v>1</v>
      </c>
    </row>
    <row r="2" spans="1:2" ht="15.75">
      <c r="A2" s="3" t="s">
        <v>5</v>
      </c>
      <c r="B2" s="1">
        <v>65</v>
      </c>
    </row>
    <row r="3" spans="1:2" ht="15.75">
      <c r="A3" s="3" t="s">
        <v>6</v>
      </c>
      <c r="B3" s="1">
        <v>57</v>
      </c>
    </row>
    <row r="4" spans="1:2" ht="15.75">
      <c r="A4" s="3" t="s">
        <v>7</v>
      </c>
      <c r="B4" s="1">
        <v>56</v>
      </c>
    </row>
    <row r="5" spans="1:2" ht="15.75">
      <c r="A5" s="3" t="s">
        <v>8</v>
      </c>
      <c r="B5" s="1">
        <v>56</v>
      </c>
    </row>
    <row r="6" spans="1:2" ht="15.75">
      <c r="A6" s="3" t="s">
        <v>9</v>
      </c>
      <c r="B6" s="1">
        <v>55</v>
      </c>
    </row>
    <row r="7" spans="1:2" ht="15.75">
      <c r="A7" s="3" t="s">
        <v>10</v>
      </c>
      <c r="B7" s="1">
        <v>53</v>
      </c>
    </row>
    <row r="8" spans="1:2" ht="15.75">
      <c r="A8" s="3" t="s">
        <v>11</v>
      </c>
      <c r="B8" s="1">
        <v>52</v>
      </c>
    </row>
    <row r="9" spans="1:2" ht="15.75">
      <c r="A9" s="3" t="s">
        <v>12</v>
      </c>
      <c r="B9" s="1">
        <v>51</v>
      </c>
    </row>
    <row r="10" spans="1:2" ht="15.75">
      <c r="A10" s="3" t="s">
        <v>13</v>
      </c>
      <c r="B10" s="1">
        <v>51</v>
      </c>
    </row>
    <row r="11" spans="1:2" ht="15.75">
      <c r="A11" s="3" t="s">
        <v>14</v>
      </c>
      <c r="B11" s="1">
        <v>51</v>
      </c>
    </row>
    <row r="12" spans="1:2" ht="15.75">
      <c r="A12" s="3" t="s">
        <v>15</v>
      </c>
      <c r="B12" s="1">
        <v>49</v>
      </c>
    </row>
    <row r="13" spans="1:2" ht="15.75">
      <c r="A13" s="3" t="s">
        <v>16</v>
      </c>
      <c r="B13" s="1">
        <v>48</v>
      </c>
    </row>
    <row r="14" spans="1:2" ht="15.75">
      <c r="A14" s="3" t="s">
        <v>17</v>
      </c>
      <c r="B14" s="1">
        <v>48</v>
      </c>
    </row>
    <row r="15" spans="1:2" ht="15.75">
      <c r="A15" s="3" t="s">
        <v>18</v>
      </c>
      <c r="B15" s="1">
        <v>48</v>
      </c>
    </row>
    <row r="16" spans="1:2" ht="15.75">
      <c r="A16" s="3" t="s">
        <v>19</v>
      </c>
      <c r="B16" s="1">
        <v>47</v>
      </c>
    </row>
    <row r="17" spans="1:2" ht="15.75">
      <c r="A17" s="3" t="s">
        <v>20</v>
      </c>
      <c r="B17" s="1">
        <v>47</v>
      </c>
    </row>
    <row r="18" spans="1:2" ht="15.75">
      <c r="A18" s="3" t="s">
        <v>21</v>
      </c>
      <c r="B18" s="1">
        <v>46</v>
      </c>
    </row>
    <row r="19" spans="1:2" ht="15.75">
      <c r="A19" s="3" t="s">
        <v>22</v>
      </c>
      <c r="B19" s="1">
        <v>41</v>
      </c>
    </row>
    <row r="20" spans="1:2" ht="15.75">
      <c r="A20" s="3" t="s">
        <v>23</v>
      </c>
      <c r="B20" s="1">
        <v>40</v>
      </c>
    </row>
    <row r="21" spans="1:2" ht="15.75">
      <c r="A21" s="3" t="s">
        <v>24</v>
      </c>
      <c r="B21" s="1">
        <v>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8C0B-1C65-4A4F-9F47-83A7B8D99170}">
  <dimension ref="A1:B12"/>
  <sheetViews>
    <sheetView workbookViewId="0">
      <selection activeCell="L22" sqref="L22"/>
    </sheetView>
  </sheetViews>
  <sheetFormatPr defaultRowHeight="15"/>
  <cols>
    <col min="2" max="2" width="11.7109375" bestFit="1" customWidth="1"/>
  </cols>
  <sheetData>
    <row r="1" spans="1:2" ht="18.75">
      <c r="A1" s="11" t="s">
        <v>25</v>
      </c>
      <c r="B1" s="11" t="s">
        <v>26</v>
      </c>
    </row>
    <row r="2" spans="1:2" ht="15.75">
      <c r="A2" s="1">
        <v>2015</v>
      </c>
      <c r="B2" s="1">
        <v>2146225</v>
      </c>
    </row>
    <row r="3" spans="1:2" ht="15.75">
      <c r="A3" s="1">
        <v>2016</v>
      </c>
      <c r="B3" s="1">
        <v>2629937</v>
      </c>
    </row>
    <row r="4" spans="1:2" ht="15.75">
      <c r="A4" s="1">
        <v>2017</v>
      </c>
      <c r="B4" s="1">
        <v>2740952</v>
      </c>
    </row>
    <row r="5" spans="1:2" ht="15.75">
      <c r="A5" s="1">
        <v>2018</v>
      </c>
      <c r="B5" s="1">
        <v>1857811</v>
      </c>
    </row>
    <row r="6" spans="1:2" ht="15.75">
      <c r="A6" s="1">
        <v>2019</v>
      </c>
      <c r="B6" s="1">
        <v>1697694</v>
      </c>
    </row>
    <row r="7" spans="1:2" ht="15.75">
      <c r="A7" s="1">
        <v>2020</v>
      </c>
      <c r="B7" s="1">
        <v>1974696</v>
      </c>
    </row>
    <row r="8" spans="1:2" ht="15.75">
      <c r="A8" s="1">
        <v>2021</v>
      </c>
      <c r="B8" s="1">
        <v>2308611</v>
      </c>
    </row>
    <row r="9" spans="1:2" ht="15.75">
      <c r="A9" s="1">
        <v>2022</v>
      </c>
      <c r="B9" s="1">
        <v>2300090</v>
      </c>
    </row>
    <row r="10" spans="1:2" ht="15.75">
      <c r="A10" s="1">
        <v>2023</v>
      </c>
      <c r="B10" s="1">
        <v>2313260</v>
      </c>
    </row>
    <row r="11" spans="1:2" ht="15.75">
      <c r="A11" s="1">
        <v>2024</v>
      </c>
      <c r="B11" s="1">
        <v>2476246</v>
      </c>
    </row>
    <row r="12" spans="1:2" ht="15.75">
      <c r="A12" s="1">
        <v>2025</v>
      </c>
      <c r="B12" s="1">
        <v>2849891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24AF-42FB-4A86-9235-4BBBFA7F712C}">
  <dimension ref="A1:B13"/>
  <sheetViews>
    <sheetView workbookViewId="0">
      <selection activeCell="O15" sqref="O15"/>
    </sheetView>
  </sheetViews>
  <sheetFormatPr defaultRowHeight="15"/>
  <cols>
    <col min="1" max="1" width="15.28515625" bestFit="1" customWidth="1"/>
    <col min="2" max="2" width="15.7109375" bestFit="1" customWidth="1"/>
  </cols>
  <sheetData>
    <row r="1" spans="1:2" ht="18.75">
      <c r="A1" s="10" t="s">
        <v>27</v>
      </c>
      <c r="B1" s="10" t="s">
        <v>3</v>
      </c>
    </row>
    <row r="2" spans="1:2" ht="15.75">
      <c r="A2" s="2" t="s">
        <v>28</v>
      </c>
      <c r="B2" s="20">
        <v>227344830</v>
      </c>
    </row>
    <row r="3" spans="1:2" ht="15.75">
      <c r="A3" s="2" t="s">
        <v>29</v>
      </c>
      <c r="B3" s="20">
        <v>223823780</v>
      </c>
    </row>
    <row r="4" spans="1:2" ht="15.75">
      <c r="A4" s="2" t="s">
        <v>30</v>
      </c>
      <c r="B4" s="20">
        <v>221279589</v>
      </c>
    </row>
    <row r="5" spans="1:2" ht="15.75">
      <c r="A5" s="2" t="s">
        <v>31</v>
      </c>
      <c r="B5" s="20">
        <v>218762996</v>
      </c>
    </row>
    <row r="6" spans="1:2" ht="15.75">
      <c r="A6" s="2" t="s">
        <v>32</v>
      </c>
      <c r="B6" s="20">
        <v>213412788</v>
      </c>
    </row>
    <row r="7" spans="1:2" ht="15.75">
      <c r="A7" s="2" t="s">
        <v>33</v>
      </c>
      <c r="B7" s="20">
        <v>212294290</v>
      </c>
    </row>
    <row r="8" spans="1:2" ht="15.75">
      <c r="A8" s="2" t="s">
        <v>34</v>
      </c>
      <c r="B8" s="20">
        <v>209992570</v>
      </c>
    </row>
    <row r="9" spans="1:2" ht="15.75">
      <c r="A9" s="2" t="s">
        <v>35</v>
      </c>
      <c r="B9" s="20">
        <v>204579464</v>
      </c>
    </row>
    <row r="10" spans="1:2" ht="15.75">
      <c r="A10" s="2" t="s">
        <v>36</v>
      </c>
      <c r="B10" s="20">
        <v>202338248</v>
      </c>
    </row>
    <row r="11" spans="1:2" ht="15.75">
      <c r="A11" s="2" t="s">
        <v>37</v>
      </c>
      <c r="B11" s="20">
        <v>195466430</v>
      </c>
    </row>
    <row r="12" spans="1:2" ht="15.75">
      <c r="A12" s="2" t="s">
        <v>38</v>
      </c>
      <c r="B12" s="20">
        <v>193964867</v>
      </c>
    </row>
    <row r="13" spans="1:2" ht="15.75">
      <c r="A13" s="2" t="s">
        <v>39</v>
      </c>
      <c r="B13" s="20">
        <v>161271499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3201-30C3-470B-B9C8-68A69E23C25F}">
  <dimension ref="A1:B11"/>
  <sheetViews>
    <sheetView workbookViewId="0">
      <selection activeCell="A2" sqref="A2"/>
    </sheetView>
  </sheetViews>
  <sheetFormatPr defaultRowHeight="15"/>
  <cols>
    <col min="1" max="1" width="12.5703125" bestFit="1" customWidth="1"/>
    <col min="2" max="2" width="11.140625" bestFit="1" customWidth="1"/>
  </cols>
  <sheetData>
    <row r="1" spans="1:2" ht="18.75">
      <c r="A1" s="11" t="s">
        <v>4</v>
      </c>
      <c r="B1" s="11" t="s">
        <v>26</v>
      </c>
    </row>
    <row r="2" spans="1:2" ht="15.75">
      <c r="A2" s="2" t="s">
        <v>19</v>
      </c>
      <c r="B2" s="13">
        <v>1856954</v>
      </c>
    </row>
    <row r="3" spans="1:2" ht="15.75">
      <c r="A3" s="2" t="s">
        <v>17</v>
      </c>
      <c r="B3" s="13">
        <v>1576205</v>
      </c>
    </row>
    <row r="4" spans="1:2" ht="15.75">
      <c r="A4" s="2" t="s">
        <v>9</v>
      </c>
      <c r="B4" s="13">
        <v>1491901</v>
      </c>
    </row>
    <row r="5" spans="1:2" ht="15.75">
      <c r="A5" s="2" t="s">
        <v>18</v>
      </c>
      <c r="B5" s="13">
        <v>1425850</v>
      </c>
    </row>
    <row r="6" spans="1:2" ht="15.75">
      <c r="A6" s="2" t="s">
        <v>24</v>
      </c>
      <c r="B6" s="13">
        <v>1366946</v>
      </c>
    </row>
    <row r="7" spans="1:2" ht="15.75">
      <c r="A7" s="2" t="s">
        <v>5</v>
      </c>
      <c r="B7" s="13">
        <v>1359111</v>
      </c>
    </row>
    <row r="8" spans="1:2" ht="15.75">
      <c r="A8" s="2" t="s">
        <v>21</v>
      </c>
      <c r="B8" s="13">
        <v>1354471</v>
      </c>
    </row>
    <row r="9" spans="1:2" ht="15.75">
      <c r="A9" s="2" t="s">
        <v>22</v>
      </c>
      <c r="B9" s="13">
        <v>1348026</v>
      </c>
    </row>
    <row r="10" spans="1:2" ht="15.75">
      <c r="A10" s="2" t="s">
        <v>10</v>
      </c>
      <c r="B10" s="13">
        <v>1287232</v>
      </c>
    </row>
    <row r="11" spans="1:2" ht="15.75">
      <c r="A11" s="2" t="s">
        <v>8</v>
      </c>
      <c r="B11" s="13">
        <v>1273177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CED5-D21F-452F-8EFA-BCE03F7B42B8}">
  <dimension ref="A1:Q39"/>
  <sheetViews>
    <sheetView showGridLines="0" tabSelected="1" topLeftCell="A4" workbookViewId="0">
      <selection activeCell="S22" sqref="S22"/>
    </sheetView>
  </sheetViews>
  <sheetFormatPr defaultRowHeight="15"/>
  <cols>
    <col min="3" max="3" width="12.140625" customWidth="1"/>
    <col min="4" max="4" width="8.7109375" customWidth="1"/>
    <col min="5" max="5" width="7.85546875" customWidth="1"/>
    <col min="8" max="8" width="10.42578125" customWidth="1"/>
    <col min="12" max="12" width="9.85546875" customWidth="1"/>
    <col min="13" max="13" width="9.140625" customWidth="1"/>
    <col min="14" max="14" width="8.42578125" customWidth="1"/>
  </cols>
  <sheetData>
    <row r="1" spans="1:17" ht="33.75" customHeight="1">
      <c r="A1" s="14" t="s">
        <v>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5"/>
    </row>
    <row r="2" spans="1:17" ht="15" customHeight="1">
      <c r="A2" s="17" t="s">
        <v>41</v>
      </c>
      <c r="B2" s="17"/>
      <c r="C2" s="17"/>
      <c r="D2" s="18"/>
      <c r="E2" s="17" t="s">
        <v>42</v>
      </c>
      <c r="F2" s="17"/>
      <c r="G2" s="17"/>
      <c r="H2" s="18"/>
      <c r="I2" s="19" t="s">
        <v>43</v>
      </c>
      <c r="J2" s="17"/>
      <c r="K2" s="17"/>
      <c r="L2" s="18"/>
      <c r="M2" s="17" t="s">
        <v>44</v>
      </c>
      <c r="N2" s="17"/>
      <c r="O2" s="17"/>
      <c r="P2" s="17"/>
    </row>
    <row r="3" spans="1:17" ht="9" customHeight="1">
      <c r="A3" s="17"/>
      <c r="B3" s="17"/>
      <c r="C3" s="17"/>
      <c r="D3" s="18"/>
      <c r="E3" s="17"/>
      <c r="F3" s="17"/>
      <c r="G3" s="17"/>
      <c r="H3" s="18"/>
      <c r="I3" s="19"/>
      <c r="J3" s="17"/>
      <c r="K3" s="17"/>
      <c r="L3" s="18"/>
      <c r="M3" s="17"/>
      <c r="N3" s="17"/>
      <c r="O3" s="17"/>
      <c r="P3" s="17"/>
    </row>
    <row r="4" spans="1:17" ht="15" customHeight="1">
      <c r="A4" s="7">
        <f>KPI_Data!A2</f>
        <v>25295413</v>
      </c>
      <c r="B4" s="7"/>
      <c r="C4" s="7"/>
      <c r="D4" s="8"/>
      <c r="E4" s="7">
        <f>KPI_Data!B2</f>
        <v>1000</v>
      </c>
      <c r="F4" s="7"/>
      <c r="G4" s="7"/>
      <c r="H4" s="8"/>
      <c r="I4" s="6">
        <f>KPI_Data!C2</f>
        <v>1000</v>
      </c>
      <c r="J4" s="7"/>
      <c r="K4" s="7"/>
      <c r="L4" s="8"/>
      <c r="M4" s="9">
        <f>KPI_Data!D2</f>
        <v>2484531351</v>
      </c>
      <c r="N4" s="9"/>
      <c r="O4" s="9"/>
      <c r="P4" s="9"/>
    </row>
    <row r="5" spans="1:17" ht="11.25" customHeight="1">
      <c r="A5" s="7"/>
      <c r="B5" s="7"/>
      <c r="C5" s="7"/>
      <c r="D5" s="8"/>
      <c r="E5" s="7"/>
      <c r="F5" s="7"/>
      <c r="G5" s="7"/>
      <c r="H5" s="8"/>
      <c r="I5" s="6"/>
      <c r="J5" s="7"/>
      <c r="K5" s="7"/>
      <c r="L5" s="8"/>
      <c r="M5" s="9"/>
      <c r="N5" s="9"/>
      <c r="O5" s="9"/>
      <c r="P5" s="9"/>
    </row>
    <row r="6" spans="1:17" ht="6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13" spans="1:17">
      <c r="N13" s="4"/>
    </row>
    <row r="39" spans="1:16" ht="21.75" customHeight="1">
      <c r="A39" s="16" t="s">
        <v>45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</sheetData>
  <mergeCells count="11">
    <mergeCell ref="A6:P6"/>
    <mergeCell ref="A39:P39"/>
    <mergeCell ref="A1:P1"/>
    <mergeCell ref="A2:D3"/>
    <mergeCell ref="A4:D5"/>
    <mergeCell ref="E2:H3"/>
    <mergeCell ref="E4:H5"/>
    <mergeCell ref="M2:P3"/>
    <mergeCell ref="I2:L3"/>
    <mergeCell ref="M4:P5"/>
    <mergeCell ref="I4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2026-05-08T09:52:11Z</dcterms:created>
  <dcterms:modified xsi:type="dcterms:W3CDTF">2026-05-08T18:07:25Z</dcterms:modified>
  <cp:category/>
  <cp:contentStatus/>
</cp:coreProperties>
</file>